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BB\1540 - MBB_Cabina projeto Série\Gerenciamento\Relatórios Cabina Série\26.07\"/>
    </mc:Choice>
  </mc:AlternateContent>
  <xr:revisionPtr revIDLastSave="0" documentId="13_ncr:1_{B4BE3EDD-9C55-4AFF-BAA6-D1D0E3C9C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 de horas" sheetId="1" r:id="rId1"/>
  </sheets>
  <definedNames>
    <definedName name="_xlnm._FilterDatabase" localSheetId="0" hidden="1">'Relatório de horas'!$B$11:$C$13</definedName>
    <definedName name="_xlnm.Print_Area" localSheetId="0">'Relatório de horas'!$B$8:$C$60</definedName>
    <definedName name="_xlnm.Print_Titles" localSheetId="0">'Relatório de horas'!$8:$11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41" i="1"/>
  <c r="E28" i="1"/>
  <c r="E51" i="1" l="1"/>
  <c r="E37" i="1" l="1"/>
  <c r="C36" i="1" s="1"/>
  <c r="K18" i="1"/>
  <c r="K16" i="1"/>
  <c r="K17" i="1"/>
  <c r="E24" i="1"/>
  <c r="C23" i="1" s="1"/>
  <c r="E17" i="1"/>
  <c r="C16" i="1" s="1"/>
  <c r="K15" i="1"/>
  <c r="K19" i="1"/>
  <c r="K20" i="1" l="1"/>
  <c r="E42" i="1"/>
  <c r="C41" i="1" s="1"/>
  <c r="C50" i="1" l="1"/>
  <c r="F51" i="1" s="1"/>
</calcChain>
</file>

<file path=xl/sharedStrings.xml><?xml version="1.0" encoding="utf-8"?>
<sst xmlns="http://schemas.openxmlformats.org/spreadsheetml/2006/main" count="46" uniqueCount="38">
  <si>
    <t>Descritivo de Atividades</t>
  </si>
  <si>
    <t>Horas</t>
  </si>
  <si>
    <t>Bruto</t>
  </si>
  <si>
    <t>Performance</t>
  </si>
  <si>
    <t>RELATÓRIO DE HORAS</t>
  </si>
  <si>
    <t>Week</t>
  </si>
  <si>
    <t>AK</t>
  </si>
  <si>
    <t>days</t>
  </si>
  <si>
    <t>Hours/week</t>
  </si>
  <si>
    <t>total:</t>
  </si>
  <si>
    <t>Projeto 
CAD_Cabina - Série</t>
  </si>
  <si>
    <t xml:space="preserve">Gerenciamento	</t>
  </si>
  <si>
    <t>Elaboração do relatório de horas</t>
  </si>
  <si>
    <t>Envio dos modelos por Swan</t>
  </si>
  <si>
    <t>Download dos modelos</t>
  </si>
  <si>
    <t>Cano</t>
  </si>
  <si>
    <t>SE.26.048</t>
  </si>
  <si>
    <t>Relatório de horas referentes ao mês de Julho/2026</t>
  </si>
  <si>
    <t>Total de horas Julho/26:</t>
  </si>
  <si>
    <t>Atualização dos 2D's da dobradiça e correção do title block e revisões</t>
  </si>
  <si>
    <t>Santo André, 13.08.2026</t>
  </si>
  <si>
    <t>Ajustes na ponteira fixação inferior e modelamento das fixações do novo suporte</t>
  </si>
  <si>
    <t>2D tubo série</t>
  </si>
  <si>
    <t>Camila</t>
  </si>
  <si>
    <t>Allan</t>
  </si>
  <si>
    <t>Reunião com suporte</t>
  </si>
  <si>
    <t>Aguardando Suporte para solução de problemas com o revision do 2D</t>
  </si>
  <si>
    <t>Subindo arquivos para o Platon</t>
  </si>
  <si>
    <t>Floormat - Desenvolvimento Proposta 1</t>
  </si>
  <si>
    <t>Floormat - Desenvolvimento Proposta 2</t>
  </si>
  <si>
    <t>Floormat - Desenvolvimento Proposta 3</t>
  </si>
  <si>
    <t>Floormat - Desenvolvimento Proposta 5</t>
  </si>
  <si>
    <t>Floormat - Desenvolvimento Proposta 6</t>
  </si>
  <si>
    <t>Floormat - Desenvolvimento Proposta 7</t>
  </si>
  <si>
    <t>Análise de interferências e elaboração de apresentação</t>
  </si>
  <si>
    <t>Criação dos ARR's e estruturas para liberação</t>
  </si>
  <si>
    <t>Liberação da proposta 1 -7</t>
  </si>
  <si>
    <t>Floormat - Desenvolvimento Proposta 4 removendo interferência com o Door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</si>
</sst>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indexed="8"/>
      <name val="Calibri"/>
      <family val="2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</font>
    <font>
      <i/>
      <sz val="11"/>
      <color rgb="FF000000"/>
      <name val="Calibri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91A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1A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5" fillId="5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2" fontId="12" fillId="3" borderId="0" xfId="0" applyNumberFormat="1" applyFont="1" applyFill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3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1172841</xdr:colOff>
      <xdr:row>57</xdr:row>
      <xdr:rowOff>28575</xdr:rowOff>
    </xdr:from>
    <xdr:ext cx="1866986" cy="530658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658616" y="22983825"/>
          <a:ext cx="186698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1">
              <a:solidFill>
                <a:schemeClr val="tx1"/>
              </a:solidFill>
              <a:latin typeface="+mn-lt"/>
              <a:ea typeface="+mn-ea"/>
              <a:cs typeface="+mn-cs"/>
            </a:rPr>
            <a:t>Alberto Moura</a:t>
          </a:r>
          <a:endParaRPr lang="pt-BR" sz="1400" b="0" i="1"/>
        </a:p>
        <a:p>
          <a:r>
            <a:rPr lang="pt-BR" sz="1400" b="1"/>
            <a:t>Schwaben Engineering</a:t>
          </a:r>
        </a:p>
      </xdr:txBody>
    </xdr:sp>
    <xdr:clientData/>
  </xdr:oneCellAnchor>
  <xdr:twoCellAnchor>
    <xdr:from>
      <xdr:col>1</xdr:col>
      <xdr:colOff>321945</xdr:colOff>
      <xdr:row>56</xdr:row>
      <xdr:rowOff>152400</xdr:rowOff>
    </xdr:from>
    <xdr:to>
      <xdr:col>1</xdr:col>
      <xdr:colOff>4121232</xdr:colOff>
      <xdr:row>56</xdr:row>
      <xdr:rowOff>152400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809625" y="8629650"/>
          <a:ext cx="3808809" cy="0"/>
        </a:xfrm>
        <a:prstGeom prst="line">
          <a:avLst/>
        </a:prstGeom>
        <a:ln w="38100">
          <a:solidFill>
            <a:srgbClr val="0091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6597793</xdr:colOff>
      <xdr:row>57</xdr:row>
      <xdr:rowOff>0</xdr:rowOff>
    </xdr:from>
    <xdr:ext cx="2020490" cy="530658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083568" y="22955250"/>
          <a:ext cx="202049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pt-BR" sz="1400" b="0" i="1" baseline="0"/>
            <a:t>Wagner Augusto Duarte</a:t>
          </a:r>
        </a:p>
        <a:p>
          <a:pPr algn="ctr"/>
          <a:r>
            <a:rPr lang="pt-BR" sz="1400" b="1" i="0"/>
            <a:t>Mercedes-Benz do Brasil</a:t>
          </a:r>
        </a:p>
      </xdr:txBody>
    </xdr:sp>
    <xdr:clientData/>
  </xdr:oneCellAnchor>
  <xdr:twoCellAnchor>
    <xdr:from>
      <xdr:col>1</xdr:col>
      <xdr:colOff>5474970</xdr:colOff>
      <xdr:row>56</xdr:row>
      <xdr:rowOff>150495</xdr:rowOff>
    </xdr:from>
    <xdr:to>
      <xdr:col>1</xdr:col>
      <xdr:colOff>9273377</xdr:colOff>
      <xdr:row>56</xdr:row>
      <xdr:rowOff>150495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6000750" y="6076950"/>
          <a:ext cx="4238625" cy="0"/>
        </a:xfrm>
        <a:prstGeom prst="line">
          <a:avLst/>
        </a:prstGeom>
        <a:ln w="38100">
          <a:solidFill>
            <a:srgbClr val="0091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235324</xdr:colOff>
      <xdr:row>1</xdr:row>
      <xdr:rowOff>179294</xdr:rowOff>
    </xdr:from>
    <xdr:to>
      <xdr:col>2</xdr:col>
      <xdr:colOff>1768458</xdr:colOff>
      <xdr:row>5</xdr:row>
      <xdr:rowOff>5206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1FB8E3D3-7D6E-4078-ACA7-045FC0D81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2118" y="381000"/>
          <a:ext cx="1533134" cy="632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K73"/>
  <sheetViews>
    <sheetView showGridLines="0" tabSelected="1" zoomScaleNormal="100" zoomScalePageLayoutView="70" workbookViewId="0">
      <selection activeCell="H38" sqref="H38"/>
    </sheetView>
  </sheetViews>
  <sheetFormatPr defaultColWidth="9.140625" defaultRowHeight="15.75" x14ac:dyDescent="0.25"/>
  <cols>
    <col min="1" max="1" width="7.28515625" style="1" customWidth="1"/>
    <col min="2" max="2" width="152.5703125" style="1" customWidth="1"/>
    <col min="3" max="3" width="28.5703125" style="2" customWidth="1"/>
    <col min="4" max="4" width="4.140625" style="1" customWidth="1"/>
    <col min="5" max="5" width="9.140625" style="1"/>
    <col min="6" max="6" width="12.28515625" style="1" customWidth="1"/>
    <col min="7" max="7" width="9.140625" style="1"/>
    <col min="8" max="8" width="12.85546875" style="1" bestFit="1" customWidth="1"/>
    <col min="9" max="10" width="9.140625" style="1"/>
    <col min="11" max="11" width="12.28515625" style="1" bestFit="1" customWidth="1"/>
    <col min="12" max="12" width="45.42578125" style="1" bestFit="1" customWidth="1"/>
    <col min="13" max="16384" width="9.140625" style="1"/>
  </cols>
  <sheetData>
    <row r="4" spans="1:11" x14ac:dyDescent="0.25">
      <c r="B4" s="22" t="s">
        <v>4</v>
      </c>
    </row>
    <row r="8" spans="1:11" x14ac:dyDescent="0.25">
      <c r="B8" s="27" t="s">
        <v>16</v>
      </c>
      <c r="C8" s="8" t="s">
        <v>20</v>
      </c>
    </row>
    <row r="9" spans="1:11" ht="31.5" x14ac:dyDescent="0.25">
      <c r="B9" s="7"/>
      <c r="C9" s="16" t="s">
        <v>10</v>
      </c>
    </row>
    <row r="10" spans="1:11" x14ac:dyDescent="0.25">
      <c r="B10" s="13"/>
    </row>
    <row r="11" spans="1:11" ht="19.5" customHeight="1" x14ac:dyDescent="0.25">
      <c r="B11" s="12" t="s">
        <v>17</v>
      </c>
      <c r="C11" s="12"/>
    </row>
    <row r="12" spans="1:11" ht="3" customHeight="1" x14ac:dyDescent="0.25">
      <c r="B12" s="3"/>
      <c r="C12" s="3"/>
    </row>
    <row r="13" spans="1:11" ht="21" customHeight="1" x14ac:dyDescent="0.25">
      <c r="B13" s="11" t="s">
        <v>0</v>
      </c>
      <c r="C13" s="11" t="s">
        <v>1</v>
      </c>
      <c r="K13" s="1">
        <v>8</v>
      </c>
    </row>
    <row r="14" spans="1:11" ht="9.75" customHeight="1" x14ac:dyDescent="0.25">
      <c r="A14" s="31"/>
      <c r="B14" s="31"/>
      <c r="C14" s="31"/>
      <c r="D14" s="31"/>
      <c r="E14" s="31"/>
      <c r="H14" s="23" t="s">
        <v>5</v>
      </c>
      <c r="I14" s="23" t="s">
        <v>6</v>
      </c>
      <c r="J14" s="23" t="s">
        <v>7</v>
      </c>
      <c r="K14" s="23" t="s">
        <v>8</v>
      </c>
    </row>
    <row r="15" spans="1:11" ht="15" x14ac:dyDescent="0.25">
      <c r="B15" s="32" t="s">
        <v>15</v>
      </c>
      <c r="C15" s="33"/>
      <c r="D15" s="6"/>
      <c r="E15" s="17" t="s">
        <v>2</v>
      </c>
      <c r="F15" s="17" t="s">
        <v>3</v>
      </c>
      <c r="G15" s="6"/>
      <c r="H15" s="23">
        <v>27</v>
      </c>
      <c r="I15" s="23">
        <v>1</v>
      </c>
      <c r="J15" s="23">
        <v>3</v>
      </c>
      <c r="K15" s="23">
        <f>I15*J15*$K$13</f>
        <v>24</v>
      </c>
    </row>
    <row r="16" spans="1:11" ht="15" customHeight="1" x14ac:dyDescent="0.25">
      <c r="B16" s="9" t="s">
        <v>19</v>
      </c>
      <c r="C16" s="30">
        <f>E17</f>
        <v>50.344000000000001</v>
      </c>
      <c r="D16" s="6"/>
      <c r="E16" s="17">
        <v>35.96</v>
      </c>
      <c r="F16" s="20">
        <v>1.4</v>
      </c>
      <c r="G16" s="6"/>
      <c r="H16" s="23">
        <v>28</v>
      </c>
      <c r="I16" s="23">
        <v>1</v>
      </c>
      <c r="J16" s="23">
        <v>3</v>
      </c>
      <c r="K16" s="23">
        <f>I16*J16*$K$13</f>
        <v>24</v>
      </c>
    </row>
    <row r="17" spans="1:11" ht="15" customHeight="1" x14ac:dyDescent="0.25">
      <c r="B17" s="9"/>
      <c r="C17" s="30"/>
      <c r="D17" s="6"/>
      <c r="E17" s="6">
        <f>E16*F16</f>
        <v>50.344000000000001</v>
      </c>
      <c r="G17" s="6"/>
      <c r="H17" s="23">
        <v>29</v>
      </c>
      <c r="I17" s="23">
        <v>1</v>
      </c>
      <c r="J17" s="23">
        <v>5</v>
      </c>
      <c r="K17" s="23">
        <f>I17*J17*$K$13</f>
        <v>40</v>
      </c>
    </row>
    <row r="18" spans="1:11" ht="15" customHeight="1" x14ac:dyDescent="0.25">
      <c r="B18" s="9"/>
      <c r="C18" s="30"/>
      <c r="D18" s="6"/>
      <c r="E18" s="6"/>
      <c r="G18" s="6"/>
      <c r="H18" s="23">
        <v>30</v>
      </c>
      <c r="I18" s="23">
        <v>1</v>
      </c>
      <c r="J18" s="23">
        <v>5</v>
      </c>
      <c r="K18" s="23">
        <f>I18*J18*$K$13</f>
        <v>40</v>
      </c>
    </row>
    <row r="19" spans="1:11" ht="15" customHeight="1" x14ac:dyDescent="0.25">
      <c r="B19" s="9"/>
      <c r="C19" s="30"/>
      <c r="D19" s="6"/>
      <c r="E19" s="6"/>
      <c r="G19" s="6"/>
      <c r="H19" s="23">
        <v>31</v>
      </c>
      <c r="I19" s="23">
        <v>1</v>
      </c>
      <c r="J19" s="23">
        <v>5</v>
      </c>
      <c r="K19" s="23">
        <f>I19*J19*$K$13</f>
        <v>40</v>
      </c>
    </row>
    <row r="20" spans="1:11" ht="15" customHeight="1" x14ac:dyDescent="0.25">
      <c r="B20" s="9"/>
      <c r="C20" s="30"/>
      <c r="D20" s="6"/>
      <c r="E20" s="6"/>
      <c r="G20" s="6"/>
      <c r="J20" s="24" t="s">
        <v>9</v>
      </c>
      <c r="K20" s="25">
        <f>K15+K16+K17+K18+K19</f>
        <v>168</v>
      </c>
    </row>
    <row r="21" spans="1:11" ht="15" customHeight="1" x14ac:dyDescent="0.25">
      <c r="A21" s="6"/>
      <c r="B21" s="6"/>
      <c r="C21" s="6"/>
      <c r="D21" s="6"/>
      <c r="E21" s="6"/>
      <c r="G21" s="6"/>
      <c r="J21" s="24"/>
      <c r="K21" s="26"/>
    </row>
    <row r="22" spans="1:11" ht="15" customHeight="1" x14ac:dyDescent="0.25">
      <c r="B22" s="32" t="s">
        <v>23</v>
      </c>
      <c r="C22" s="33"/>
      <c r="D22" s="6"/>
      <c r="E22" s="17" t="s">
        <v>2</v>
      </c>
      <c r="F22" s="17" t="s">
        <v>3</v>
      </c>
      <c r="G22" s="6"/>
    </row>
    <row r="23" spans="1:11" ht="15" customHeight="1" x14ac:dyDescent="0.25">
      <c r="B23" s="9" t="s">
        <v>22</v>
      </c>
      <c r="C23" s="30">
        <f>E24</f>
        <v>41.76</v>
      </c>
      <c r="D23" s="6"/>
      <c r="E23" s="17">
        <f>8+43-15</f>
        <v>36</v>
      </c>
      <c r="F23" s="20">
        <v>1.1599999999999999</v>
      </c>
      <c r="G23" s="6"/>
    </row>
    <row r="24" spans="1:11" ht="15" x14ac:dyDescent="0.25">
      <c r="B24" s="9" t="s">
        <v>34</v>
      </c>
      <c r="C24" s="30"/>
      <c r="D24" s="6"/>
      <c r="E24" s="6">
        <f>E23*F23</f>
        <v>41.76</v>
      </c>
      <c r="G24" s="6"/>
    </row>
    <row r="25" spans="1:11" ht="15" x14ac:dyDescent="0.25">
      <c r="B25" s="9" t="s">
        <v>28</v>
      </c>
      <c r="C25" s="30"/>
      <c r="D25" s="6"/>
      <c r="E25" s="6"/>
      <c r="G25" s="6"/>
    </row>
    <row r="26" spans="1:11" ht="15" x14ac:dyDescent="0.25">
      <c r="B26" s="9" t="s">
        <v>29</v>
      </c>
      <c r="C26" s="30"/>
      <c r="D26" s="6"/>
      <c r="E26" s="6"/>
      <c r="G26" s="6"/>
    </row>
    <row r="27" spans="1:11" ht="15" x14ac:dyDescent="0.25">
      <c r="B27" s="9" t="s">
        <v>30</v>
      </c>
      <c r="C27" s="30"/>
      <c r="D27" s="6"/>
      <c r="E27" s="6"/>
      <c r="G27" s="6"/>
    </row>
    <row r="28" spans="1:11" ht="15" x14ac:dyDescent="0.25">
      <c r="B28" s="9" t="s">
        <v>37</v>
      </c>
      <c r="C28" s="30"/>
      <c r="D28" s="6"/>
      <c r="E28" s="6">
        <f>9.6+50</f>
        <v>59.6</v>
      </c>
      <c r="G28" s="6"/>
    </row>
    <row r="29" spans="1:11" ht="15" x14ac:dyDescent="0.25">
      <c r="B29" s="9" t="s">
        <v>31</v>
      </c>
      <c r="C29" s="30"/>
      <c r="D29" s="6"/>
      <c r="E29" s="6"/>
      <c r="G29" s="6"/>
    </row>
    <row r="30" spans="1:11" ht="15" x14ac:dyDescent="0.25">
      <c r="B30" s="9" t="s">
        <v>32</v>
      </c>
      <c r="C30" s="30"/>
      <c r="D30" s="6"/>
      <c r="E30" s="6"/>
      <c r="G30" s="6"/>
    </row>
    <row r="31" spans="1:11" ht="15" x14ac:dyDescent="0.25">
      <c r="B31" s="9" t="s">
        <v>33</v>
      </c>
      <c r="C31" s="30"/>
      <c r="D31" s="6"/>
      <c r="E31" s="6"/>
      <c r="G31" s="6"/>
    </row>
    <row r="32" spans="1:11" ht="15" x14ac:dyDescent="0.25">
      <c r="B32" s="9"/>
      <c r="C32" s="30"/>
      <c r="D32" s="6"/>
      <c r="E32" s="6"/>
      <c r="G32" s="6"/>
    </row>
    <row r="33" spans="1:7" ht="15" x14ac:dyDescent="0.25">
      <c r="B33" s="9"/>
      <c r="C33" s="30"/>
      <c r="D33" s="6"/>
      <c r="E33" s="6"/>
      <c r="G33" s="6"/>
    </row>
    <row r="34" spans="1:7" ht="15" x14ac:dyDescent="0.25">
      <c r="A34" s="6"/>
      <c r="B34" s="6"/>
      <c r="C34" s="6"/>
      <c r="D34" s="6"/>
      <c r="E34" s="6"/>
      <c r="G34" s="6"/>
    </row>
    <row r="35" spans="1:7" ht="15" x14ac:dyDescent="0.25">
      <c r="B35" s="32" t="s">
        <v>24</v>
      </c>
      <c r="C35" s="33"/>
      <c r="D35" s="6"/>
      <c r="E35" s="17" t="s">
        <v>2</v>
      </c>
      <c r="F35" s="17" t="s">
        <v>3</v>
      </c>
      <c r="G35" s="6"/>
    </row>
    <row r="36" spans="1:7" ht="15" customHeight="1" x14ac:dyDescent="0.25">
      <c r="B36" s="9" t="s">
        <v>21</v>
      </c>
      <c r="C36" s="30">
        <f>E37</f>
        <v>22.425000000000001</v>
      </c>
      <c r="D36" s="6"/>
      <c r="E36" s="17">
        <v>17.25</v>
      </c>
      <c r="F36" s="20">
        <v>1.3</v>
      </c>
      <c r="G36" s="6"/>
    </row>
    <row r="37" spans="1:7" ht="15" customHeight="1" x14ac:dyDescent="0.25">
      <c r="B37" s="9"/>
      <c r="C37" s="30"/>
      <c r="D37" s="6"/>
      <c r="E37" s="6">
        <f>E36*F36</f>
        <v>22.425000000000001</v>
      </c>
      <c r="G37" s="6"/>
    </row>
    <row r="38" spans="1:7" ht="15" customHeight="1" x14ac:dyDescent="0.25">
      <c r="B38" s="9"/>
      <c r="C38" s="30"/>
      <c r="D38" s="6"/>
      <c r="E38" s="6"/>
      <c r="G38" s="6"/>
    </row>
    <row r="39" spans="1:7" ht="15" customHeight="1" x14ac:dyDescent="0.25">
      <c r="B39" s="28"/>
      <c r="C39" s="29"/>
      <c r="D39" s="6"/>
      <c r="E39" s="6"/>
      <c r="G39" s="6"/>
    </row>
    <row r="40" spans="1:7" ht="15" x14ac:dyDescent="0.25">
      <c r="B40" s="32" t="s">
        <v>11</v>
      </c>
      <c r="C40" s="33"/>
      <c r="D40" s="6"/>
      <c r="E40" s="17" t="s">
        <v>2</v>
      </c>
      <c r="F40" s="17" t="s">
        <v>3</v>
      </c>
    </row>
    <row r="41" spans="1:7" ht="15" x14ac:dyDescent="0.25">
      <c r="B41" s="9" t="s">
        <v>14</v>
      </c>
      <c r="C41" s="30">
        <f>E42</f>
        <v>73.402000000000001</v>
      </c>
      <c r="D41" s="6"/>
      <c r="E41" s="17">
        <f>37.43+15</f>
        <v>52.43</v>
      </c>
      <c r="F41" s="20">
        <v>1.4</v>
      </c>
    </row>
    <row r="42" spans="1:7" ht="15" x14ac:dyDescent="0.25">
      <c r="B42" s="9" t="s">
        <v>12</v>
      </c>
      <c r="C42" s="30"/>
      <c r="D42" s="6"/>
      <c r="E42" s="6">
        <f>E41*F41</f>
        <v>73.402000000000001</v>
      </c>
    </row>
    <row r="43" spans="1:7" ht="15" x14ac:dyDescent="0.25">
      <c r="B43" s="9" t="s">
        <v>13</v>
      </c>
      <c r="C43" s="30"/>
      <c r="D43" s="6"/>
      <c r="E43" s="6"/>
    </row>
    <row r="44" spans="1:7" ht="15" x14ac:dyDescent="0.25">
      <c r="B44" s="9" t="s">
        <v>27</v>
      </c>
      <c r="C44" s="30"/>
      <c r="D44" s="6"/>
      <c r="E44" s="6"/>
    </row>
    <row r="45" spans="1:7" ht="15" x14ac:dyDescent="0.25">
      <c r="B45" s="9" t="s">
        <v>25</v>
      </c>
      <c r="C45" s="30"/>
      <c r="D45" s="6"/>
      <c r="E45" s="6"/>
    </row>
    <row r="46" spans="1:7" ht="15" x14ac:dyDescent="0.25">
      <c r="B46" s="9" t="s">
        <v>26</v>
      </c>
      <c r="C46" s="30"/>
      <c r="D46" s="6"/>
      <c r="E46" s="6"/>
    </row>
    <row r="47" spans="1:7" ht="15" x14ac:dyDescent="0.25">
      <c r="B47" s="9" t="s">
        <v>35</v>
      </c>
      <c r="C47" s="30"/>
      <c r="D47" s="6"/>
      <c r="E47" s="6"/>
    </row>
    <row r="48" spans="1:7" ht="15" x14ac:dyDescent="0.25">
      <c r="B48" s="9" t="s">
        <v>36</v>
      </c>
      <c r="C48" s="30"/>
      <c r="D48" s="6"/>
      <c r="E48" s="6"/>
    </row>
    <row r="49" spans="2:6" thickBot="1" x14ac:dyDescent="0.3">
      <c r="B49" s="9"/>
      <c r="C49" s="30"/>
      <c r="D49" s="6"/>
      <c r="E49" s="6"/>
      <c r="F49"/>
    </row>
    <row r="50" spans="2:6" ht="19.5" thickBot="1" x14ac:dyDescent="0.3">
      <c r="B50" s="10" t="s">
        <v>18</v>
      </c>
      <c r="C50" s="14">
        <f>SUM(C16,C23,C36,C41)</f>
        <v>187.93099999999998</v>
      </c>
      <c r="E50" s="17" t="s">
        <v>2</v>
      </c>
      <c r="F50" s="17" t="s">
        <v>3</v>
      </c>
    </row>
    <row r="51" spans="2:6" ht="15" x14ac:dyDescent="0.25">
      <c r="B51"/>
      <c r="C51"/>
      <c r="E51" s="21">
        <f>SUM(E16,E23,E36,E41)</f>
        <v>141.64000000000001</v>
      </c>
      <c r="F51" s="18">
        <f>C50/E51</f>
        <v>1.3268215193448176</v>
      </c>
    </row>
    <row r="52" spans="2:6" ht="15" x14ac:dyDescent="0.25">
      <c r="C52"/>
      <c r="E52"/>
      <c r="F52"/>
    </row>
    <row r="53" spans="2:6" ht="15" x14ac:dyDescent="0.25">
      <c r="B53" s="31"/>
      <c r="C53" s="31"/>
    </row>
    <row r="54" spans="2:6" ht="15" x14ac:dyDescent="0.25">
      <c r="B54" s="6"/>
      <c r="C54" s="19"/>
    </row>
    <row r="55" spans="2:6" x14ac:dyDescent="0.25">
      <c r="B55" s="4"/>
      <c r="C55" s="5"/>
    </row>
    <row r="56" spans="2:6" x14ac:dyDescent="0.25">
      <c r="B56" s="4"/>
      <c r="C56" s="5"/>
    </row>
    <row r="57" spans="2:6" x14ac:dyDescent="0.25">
      <c r="E57" s="15"/>
    </row>
    <row r="73" spans="3:3" ht="15" x14ac:dyDescent="0.25">
      <c r="C73" s="1"/>
    </row>
  </sheetData>
  <autoFilter ref="B11:C13" xr:uid="{00000000-0009-0000-0000-000000000000}"/>
  <mergeCells count="10">
    <mergeCell ref="C41:C49"/>
    <mergeCell ref="B53:C53"/>
    <mergeCell ref="A14:E14"/>
    <mergeCell ref="B40:C40"/>
    <mergeCell ref="B22:C22"/>
    <mergeCell ref="C23:C33"/>
    <mergeCell ref="B15:C15"/>
    <mergeCell ref="C16:C20"/>
    <mergeCell ref="B35:C35"/>
    <mergeCell ref="C36:C38"/>
  </mergeCells>
  <phoneticPr fontId="13" type="noConversion"/>
  <printOptions horizontalCentered="1"/>
  <pageMargins left="0.51181102362204722" right="0.51181102362204722" top="0.9055118110236221" bottom="2.7952755905511815" header="0.31496062992125984" footer="0.31496062992125984"/>
  <pageSetup paperSize="9" scale="50" fitToHeight="0" orientation="portrait" verticalDpi="300" r:id="rId1"/>
  <headerFooter>
    <oddHeader>&amp;C&amp;"-,Negrito"&amp;16Relatório de Horas&amp;R&amp;G</oddHeader>
    <oddFooter>&amp;L&amp;8Schwaben Serviços de Engenharia, Importação e Exportação Ltda.Av. Dr Antonio Álvaro 33009030-520 Vila Assunção, Santo André/SP, Brasil&amp;C&amp;P / &amp;N&amp;R&amp;8e-mail: contato@schwaben.com.brInternet: www.schwaben.com.brFone/ Fax: +55 11 4468 1521</oddFooter>
  </headerFooter>
  <colBreaks count="1" manualBreakCount="1">
    <brk id="1" max="104857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Relatório de horas</vt:lpstr>
      <vt:lpstr>'Relatório de horas'!Print_Area</vt:lpstr>
      <vt:lpstr>'Relatório de horas'!Print_Titles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nspinelli</dc:creator>
  <cp:keywords/>
  <dc:description/>
  <cp:lastModifiedBy>Lucca Franco</cp:lastModifiedBy>
  <cp:revision/>
  <cp:lastPrinted>2026-04-09T19:28:57Z</cp:lastPrinted>
  <dcterms:created xsi:type="dcterms:W3CDTF">2015-08-27T15:31:04Z</dcterms:created>
  <dcterms:modified xsi:type="dcterms:W3CDTF">2026-08-13T20:40:53Z</dcterms:modified>
  <cp:category/>
  <cp:contentStatus/>
</cp:coreProperties>
</file>